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sitivo\Documents\"/>
    </mc:Choice>
  </mc:AlternateContent>
  <xr:revisionPtr revIDLastSave="0" documentId="8_{66A593EE-BF74-4121-B545-5B00E382AA7C}" xr6:coauthVersionLast="47" xr6:coauthVersionMax="47" xr10:uidLastSave="{00000000-0000-0000-0000-000000000000}"/>
  <bookViews>
    <workbookView xWindow="10980" yWindow="0" windowWidth="9600" windowHeight="10905" tabRatio="136" xr2:uid="{18990516-10AB-4EB4-B94F-C5DF385F2DA1}"/>
  </bookViews>
  <sheets>
    <sheet name="APP" sheetId="1" r:id="rId1"/>
    <sheet name="apoio" sheetId="2" r:id="rId2"/>
  </sheets>
  <definedNames>
    <definedName name="aporte">APP!$C$18</definedName>
    <definedName name="Investir_mes">APP!$C$18</definedName>
    <definedName name="patrimonio">APP!$C$21</definedName>
    <definedName name="ptm_acm">APP!$C$21</definedName>
    <definedName name="qtt_anos">APP!$C$19</definedName>
    <definedName name="quantidade_anos">APP!$C$19</definedName>
    <definedName name="Rendimento_Carteira">APP!$C$13</definedName>
    <definedName name="salario">APP!$C$12</definedName>
    <definedName name="sus_investimento">APP!$C$14</definedName>
    <definedName name="taxa_mensal">APP!$C$20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D40" i="1" s="1"/>
  <c r="C41" i="1"/>
  <c r="D41" i="1" s="1"/>
  <c r="C36" i="1"/>
  <c r="D36" i="1" s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33" i="1"/>
  <c r="C21" i="1"/>
  <c r="C22" i="1" s="1"/>
  <c r="C14" i="1"/>
  <c r="C26" i="1"/>
  <c r="D26" i="1" s="1"/>
  <c r="C27" i="1"/>
  <c r="D27" i="1" s="1"/>
  <c r="C28" i="1"/>
  <c r="D28" i="1" s="1"/>
  <c r="C29" i="1"/>
  <c r="D29" i="1" s="1"/>
  <c r="C25" i="1"/>
  <c r="D25" i="1" s="1"/>
  <c r="D39" i="1" l="1"/>
  <c r="D38" i="1"/>
  <c r="D37" i="1"/>
  <c r="D42" i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<sst xmlns="http://schemas.openxmlformats.org/spreadsheetml/2006/main" count="69" uniqueCount="34">
  <si>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</si>
  <si>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</si>
  <si>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</si>
  <si>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Qual o patrimônio acumulado?</t>
  </si>
  <si>
    <t>Quanto é os 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</si>
  <si>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</si>
  <si>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</si>
  <si>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</si>
  <si>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</si>
  <si>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</si>
  <si>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</si>
  <si>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</si>
  <si>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Salário</t>
  </si>
  <si>
    <t>Rendimento Carteira</t>
  </si>
  <si>
    <t>CONSIGURAÇÕES</t>
  </si>
  <si>
    <t>Perfil</t>
  </si>
  <si>
    <t>Conservador</t>
  </si>
  <si>
    <t>Moderado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</si>
  <si>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</si>
  <si>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</si>
  <si>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</si>
  <si>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</si>
  <si>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</si>
  <si>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</si>
  <si>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</si>
  <si>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</si>
  <si>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</si>
  <si>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</si>
  <si>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</t>
  </si>
  <si>
    <t>TIPOS DE FII</t>
  </si>
  <si>
    <t>%</t>
  </si>
  <si>
    <t>CHAVE</t>
  </si>
  <si>
    <t>Susgestão de Investimento (30%)</t>
  </si>
  <si>
    <t>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</si>
</sst>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9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15D4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169" fontId="3" fillId="0" borderId="10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69" fontId="3" fillId="0" borderId="6" xfId="1" applyNumberFormat="1" applyFon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9" fontId="0" fillId="0" borderId="10" xfId="1" applyNumberFormat="1" applyFon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169" fontId="0" fillId="0" borderId="6" xfId="1" applyNumberFormat="1" applyFont="1" applyBorder="1" applyAlignment="1">
      <alignment horizontal="center"/>
    </xf>
    <xf numFmtId="0" fontId="8" fillId="5" borderId="5" xfId="0" applyFont="1" applyFill="1" applyBorder="1" applyAlignment="1">
      <alignment horizontal="left" indent="2"/>
    </xf>
    <xf numFmtId="0" fontId="8" fillId="5" borderId="7" xfId="0" applyFont="1" applyFill="1" applyBorder="1" applyAlignment="1">
      <alignment horizontal="left" indent="2"/>
    </xf>
    <xf numFmtId="0" fontId="8" fillId="0" borderId="5" xfId="0" applyFont="1" applyBorder="1" applyAlignment="1">
      <alignment horizontal="left" indent="2"/>
    </xf>
    <xf numFmtId="169" fontId="0" fillId="5" borderId="12" xfId="0" applyNumberFormat="1" applyFill="1" applyBorder="1" applyAlignment="1">
      <alignment horizontal="center"/>
    </xf>
    <xf numFmtId="169" fontId="0" fillId="5" borderId="8" xfId="0" applyNumberFormat="1" applyFill="1" applyBorder="1" applyAlignment="1">
      <alignment horizontal="center"/>
    </xf>
    <xf numFmtId="0" fontId="9" fillId="5" borderId="5" xfId="0" applyFont="1" applyFill="1" applyBorder="1" applyAlignment="1">
      <alignment horizontal="left" indent="2"/>
    </xf>
    <xf numFmtId="8" fontId="3" fillId="5" borderId="10" xfId="0" applyNumberFormat="1" applyFont="1" applyFill="1" applyBorder="1" applyAlignment="1">
      <alignment horizontal="center"/>
    </xf>
    <xf numFmtId="8" fontId="3" fillId="5" borderId="6" xfId="0" applyNumberFormat="1" applyFont="1" applyFill="1" applyBorder="1" applyAlignment="1">
      <alignment horizontal="center"/>
    </xf>
    <xf numFmtId="0" fontId="9" fillId="5" borderId="7" xfId="0" applyFont="1" applyFill="1" applyBorder="1" applyAlignment="1">
      <alignment horizontal="left" indent="2"/>
    </xf>
    <xf numFmtId="8" fontId="3" fillId="5" borderId="12" xfId="0" applyNumberFormat="1" applyFont="1" applyFill="1" applyBorder="1" applyAlignment="1">
      <alignment horizontal="center"/>
    </xf>
    <xf numFmtId="8" fontId="3" fillId="5" borderId="8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left" indent="2"/>
    </xf>
    <xf numFmtId="169" fontId="0" fillId="5" borderId="9" xfId="0" applyNumberFormat="1" applyFill="1" applyBorder="1" applyAlignment="1">
      <alignment horizontal="center"/>
    </xf>
    <xf numFmtId="169" fontId="0" fillId="5" borderId="4" xfId="0" applyNumberFormat="1" applyFill="1" applyBorder="1" applyAlignment="1">
      <alignment horizontal="center"/>
    </xf>
    <xf numFmtId="169" fontId="0" fillId="5" borderId="10" xfId="0" applyNumberFormat="1" applyFill="1" applyBorder="1" applyAlignment="1">
      <alignment horizontal="center"/>
    </xf>
    <xf numFmtId="169" fontId="0" fillId="5" borderId="12" xfId="0" applyNumberFormat="1" applyFill="1" applyBorder="1" applyAlignment="1">
      <alignment horizontal="center"/>
    </xf>
    <xf numFmtId="169" fontId="0" fillId="5" borderId="13" xfId="0" applyNumberFormat="1" applyFill="1" applyBorder="1" applyAlignment="1">
      <alignment horizontal="center"/>
    </xf>
    <xf numFmtId="0" fontId="2" fillId="2" borderId="0" xfId="2" applyBorder="1" applyAlignment="1">
      <alignment horizontal="left" indent="2"/>
    </xf>
    <xf numFmtId="0" fontId="0" fillId="5" borderId="0" xfId="0" applyFont="1" applyFill="1" applyAlignment="1">
      <alignment horizontal="center"/>
    </xf>
    <xf numFmtId="0" fontId="2" fillId="2" borderId="0" xfId="2" applyAlignment="1">
      <alignment horizontal="center"/>
    </xf>
    <xf numFmtId="169" fontId="0" fillId="5" borderId="0" xfId="0" applyNumberFormat="1" applyFont="1" applyFill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9" fontId="0" fillId="0" borderId="21" xfId="0" applyNumberFormat="1" applyBorder="1"/>
    <xf numFmtId="0" fontId="0" fillId="6" borderId="23" xfId="0" applyFill="1" applyBorder="1"/>
    <xf numFmtId="0" fontId="0" fillId="6" borderId="24" xfId="0" applyFill="1" applyBorder="1"/>
    <xf numFmtId="169" fontId="0" fillId="6" borderId="25" xfId="0" applyNumberFormat="1" applyFill="1" applyBorder="1"/>
    <xf numFmtId="0" fontId="0" fillId="0" borderId="0" xfId="0" applyBorder="1" applyAlignment="1">
      <alignment horizontal="center"/>
    </xf>
    <xf numFmtId="169" fontId="0" fillId="5" borderId="22" xfId="0" applyNumberFormat="1" applyFill="1" applyBorder="1"/>
    <xf numFmtId="0" fontId="0" fillId="0" borderId="26" xfId="0" applyBorder="1"/>
    <xf numFmtId="0" fontId="0" fillId="0" borderId="26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 vertical="center"/>
    </xf>
  </cellXfs>
  <cellStyles count="3">
    <cellStyle name="Bom" xfId="2" builtinId="26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6699"/>
      <color rgb="FF215D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9-451E-9B9A-B9C96C0D44E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APP!$D$36:$D$41</c:f>
              <c:numCache>
                <c:formatCode>"R$"\ #,##0.00</c:formatCode>
                <c:ptCount val="6"/>
                <c:pt idx="0">
                  <c:v>64</c:v>
                </c:pt>
                <c:pt idx="1">
                  <c:v>80</c:v>
                </c:pt>
                <c:pt idx="2">
                  <c:v>16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9-451E-9B9A-B9C96C0D4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0</xdr:row>
      <xdr:rowOff>38100</xdr:rowOff>
    </xdr:from>
    <xdr:to>
      <xdr:col>16384</xdr:col>
      <xdr:colOff>381000</xdr:colOff>
      <xdr:row>9</xdr:row>
      <xdr:rowOff>91200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C0394A-CCE9-4FD9-B79E-40E49A454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85750" y="38100"/>
          <a:ext cx="8410575" cy="1767600"/>
        </a:xfrm>
        <a:prstGeom prst="rect">
          <a:avLst/>
        </a:prstGeom>
      </xdr:spPr>
    </xdr:pic>
    <xdr:clientData/>
  </xdr:twoCellAnchor>
  <xdr:twoCellAnchor>
    <xdr:from>
      <xdr:col>1</xdr:col>
      <xdr:colOff>988218</xdr:colOff>
      <xdr:row>42</xdr:row>
      <xdr:rowOff>116682</xdr:rowOff>
    </xdr:from>
    <xdr:to>
      <xdr:col>3</xdr:col>
      <xdr:colOff>369093</xdr:colOff>
      <xdr:row>57</xdr:row>
      <xdr:rowOff>2382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B43657-2C1C-4022-84CF-093FFDDF9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E425-36E8-4822-BBD5-EA29E05CA4DD}">
  <dimension ref="A10:I42"/>
  <sheetViews>
    <sheetView showGridLines="0" showRowColHeaders="0" tabSelected="1" topLeftCell="B1" zoomScale="80" zoomScaleNormal="80" workbookViewId="0">
      <selection activeCell="F53" sqref="F53"/>
    </sheetView>
  </sheetViews>
  <sheetFormatPr defaultColWidth="0" defaultRowHeight="15" x14ac:dyDescent="0.25"/>
  <cols>
    <col min="1" max="1" width="9.140625" customWidth="1"/>
    <col min="2" max="2" width="36.7109375" bestFit="1" customWidth="1"/>
    <col min="3" max="3" width="41.140625" customWidth="1"/>
    <col min="4" max="4" width="12.42578125" bestFit="1" customWidth="1"/>
    <col min="5" max="5" width="9.140625" customWidth="1"/>
    <col min="6" max="6" width="5.140625" customWidth="1"/>
    <col min="7" max="8" width="5.42578125" customWidth="1"/>
    <col min="10" max="16384" width="9.140625" hidden="1"/>
  </cols>
  <sheetData>
    <row r="10" spans="2:4" ht="15.75" thickBot="1" x14ac:dyDescent="0.3"/>
    <row r="11" spans="2:4" ht="21" x14ac:dyDescent="0.25">
      <c r="B11" s="19" t="s">
        <v>14</v>
      </c>
      <c r="C11" s="20"/>
      <c r="D11" s="21"/>
    </row>
    <row r="12" spans="2:4" ht="15.75" x14ac:dyDescent="0.25">
      <c r="B12" s="23" t="s">
        <v>12</v>
      </c>
      <c r="C12" s="17">
        <v>2000</v>
      </c>
      <c r="D12" s="22"/>
    </row>
    <row r="13" spans="2:4" ht="15.75" x14ac:dyDescent="0.25">
      <c r="B13" s="23" t="s">
        <v>13</v>
      </c>
      <c r="C13" s="18">
        <v>6.0000000000000001E-3</v>
      </c>
      <c r="D13" s="16"/>
    </row>
    <row r="14" spans="2:4" ht="16.5" thickBot="1" x14ac:dyDescent="0.3">
      <c r="B14" s="24" t="s">
        <v>32</v>
      </c>
      <c r="C14" s="26">
        <f>C12*30%</f>
        <v>600</v>
      </c>
      <c r="D14" s="27"/>
    </row>
    <row r="16" spans="2:4" ht="15.75" thickBot="1" x14ac:dyDescent="0.3"/>
    <row r="17" spans="1:4" ht="32.25" customHeight="1" x14ac:dyDescent="0.25">
      <c r="B17" s="12" t="s">
        <v>5</v>
      </c>
      <c r="C17" s="13"/>
      <c r="D17" s="14"/>
    </row>
    <row r="18" spans="1:4" ht="15.75" x14ac:dyDescent="0.25">
      <c r="B18" s="25" t="s">
        <v>0</v>
      </c>
      <c r="C18" s="9">
        <v>200</v>
      </c>
      <c r="D18" s="15"/>
    </row>
    <row r="19" spans="1:4" ht="15.75" x14ac:dyDescent="0.25">
      <c r="B19" s="25" t="s">
        <v>1</v>
      </c>
      <c r="C19" s="10">
        <v>5</v>
      </c>
      <c r="D19" s="6"/>
    </row>
    <row r="20" spans="1:4" ht="15.75" x14ac:dyDescent="0.25">
      <c r="B20" s="25" t="s">
        <v>2</v>
      </c>
      <c r="C20" s="11">
        <v>1.0789999999999999E-2</v>
      </c>
      <c r="D20" s="7"/>
    </row>
    <row r="21" spans="1:4" ht="15.75" x14ac:dyDescent="0.25">
      <c r="B21" s="28" t="s">
        <v>3</v>
      </c>
      <c r="C21" s="29">
        <f>FV(taxa_mensal,qtt_anos*12,aporte*-1)</f>
        <v>16755.382799697527</v>
      </c>
      <c r="D21" s="30"/>
    </row>
    <row r="22" spans="1:4" ht="16.5" thickBot="1" x14ac:dyDescent="0.3">
      <c r="B22" s="31" t="s">
        <v>4</v>
      </c>
      <c r="C22" s="32">
        <f>patrimonio*Rendimento_Carteira</f>
        <v>100.53229679818516</v>
      </c>
      <c r="D22" s="33"/>
    </row>
    <row r="23" spans="1:4" ht="15.75" thickBot="1" x14ac:dyDescent="0.3"/>
    <row r="24" spans="1:4" ht="26.25" x14ac:dyDescent="0.25">
      <c r="B24" s="3" t="s">
        <v>33</v>
      </c>
      <c r="C24" s="8"/>
      <c r="D24" s="4" t="s">
        <v>11</v>
      </c>
    </row>
    <row r="25" spans="1:4" ht="15.75" x14ac:dyDescent="0.25">
      <c r="A25" s="1">
        <v>2</v>
      </c>
      <c r="B25" s="34" t="s">
        <v>6</v>
      </c>
      <c r="C25" s="35">
        <f>FV($C$20,$A25*12,$C$18*-1)</f>
        <v>5445.5254595290435</v>
      </c>
      <c r="D25" s="36">
        <f>C25*Rendimento_Carteira</f>
        <v>32.673152757174265</v>
      </c>
    </row>
    <row r="26" spans="1:4" ht="15.75" x14ac:dyDescent="0.25">
      <c r="A26" s="1">
        <v>5</v>
      </c>
      <c r="B26" s="23" t="s">
        <v>7</v>
      </c>
      <c r="C26" s="37">
        <f>FV($C$20,$A26*12,$C$18*-1)</f>
        <v>16755.382799697527</v>
      </c>
      <c r="D26" s="36">
        <f>C26*Rendimento_Carteira</f>
        <v>100.53229679818516</v>
      </c>
    </row>
    <row r="27" spans="1:4" ht="15.75" x14ac:dyDescent="0.25">
      <c r="A27" s="1">
        <v>10</v>
      </c>
      <c r="B27" s="23" t="s">
        <v>8</v>
      </c>
      <c r="C27" s="37">
        <f>FV($C$20,$A27*12,$C$18*-1)</f>
        <v>48656.842506034438</v>
      </c>
      <c r="D27" s="36">
        <f>C27*Rendimento_Carteira</f>
        <v>291.94105503620665</v>
      </c>
    </row>
    <row r="28" spans="1:4" ht="15.75" x14ac:dyDescent="0.25">
      <c r="A28" s="1">
        <v>20</v>
      </c>
      <c r="B28" s="23" t="s">
        <v>9</v>
      </c>
      <c r="C28" s="37">
        <f>FV($C$20,$A28*12,$C$18*-1)</f>
        <v>225039.68001941612</v>
      </c>
      <c r="D28" s="36">
        <f>C28*Rendimento_Carteira</f>
        <v>1350.2380801164968</v>
      </c>
    </row>
    <row r="29" spans="1:4" ht="16.5" thickBot="1" x14ac:dyDescent="0.3">
      <c r="A29" s="1">
        <v>30</v>
      </c>
      <c r="B29" s="24" t="s">
        <v>10</v>
      </c>
      <c r="C29" s="38">
        <f>FV($C$20,$A29*12,$C$18*-1)</f>
        <v>864433.93100094295</v>
      </c>
      <c r="D29" s="39">
        <f>C29*Rendimento_Carteira</f>
        <v>5186.6035860056581</v>
      </c>
    </row>
    <row r="32" spans="1:4" x14ac:dyDescent="0.25">
      <c r="B32" s="40" t="s">
        <v>15</v>
      </c>
      <c r="C32" s="42" t="s">
        <v>17</v>
      </c>
      <c r="D32" s="42"/>
    </row>
    <row r="33" spans="2:4" x14ac:dyDescent="0.25">
      <c r="B33" s="41" t="s">
        <v>19</v>
      </c>
      <c r="C33" s="43">
        <f>aporte</f>
        <v>200</v>
      </c>
      <c r="D33" s="43"/>
    </row>
    <row r="34" spans="2:4" ht="15.75" thickBot="1" x14ac:dyDescent="0.3"/>
    <row r="35" spans="2:4" x14ac:dyDescent="0.25">
      <c r="B35" s="44" t="s">
        <v>20</v>
      </c>
      <c r="C35" s="45" t="s">
        <v>21</v>
      </c>
      <c r="D35" s="46" t="s">
        <v>22</v>
      </c>
    </row>
    <row r="36" spans="2:4" x14ac:dyDescent="0.25">
      <c r="B36" s="47" t="s">
        <v>23</v>
      </c>
      <c r="C36" s="48">
        <f>VLOOKUP($C$32&amp;"-"&amp;B36,apoio!$A$3:$D$21,4,FALSE)</f>
        <v>0.32</v>
      </c>
      <c r="D36" s="53">
        <f>C36*$C$33</f>
        <v>64</v>
      </c>
    </row>
    <row r="37" spans="2:4" x14ac:dyDescent="0.25">
      <c r="B37" s="47" t="s">
        <v>24</v>
      </c>
      <c r="C37" s="48">
        <f>VLOOKUP($C$32&amp;"-"&amp;B37,apoio!$A$3:$D$21,4,FALSE)</f>
        <v>0.4</v>
      </c>
      <c r="D37" s="53">
        <f t="shared" ref="D37:D41" si="0">C37*$C$33</f>
        <v>80</v>
      </c>
    </row>
    <row r="38" spans="2:4" x14ac:dyDescent="0.25">
      <c r="B38" s="47" t="s">
        <v>25</v>
      </c>
      <c r="C38" s="48">
        <f>VLOOKUP($C$32&amp;"-"&amp;B38,apoio!$A$3:$D$21,4,FALSE)</f>
        <v>0.08</v>
      </c>
      <c r="D38" s="53">
        <f t="shared" si="0"/>
        <v>16</v>
      </c>
    </row>
    <row r="39" spans="2:4" x14ac:dyDescent="0.25">
      <c r="B39" s="47" t="s">
        <v>26</v>
      </c>
      <c r="C39" s="48">
        <f>VLOOKUP($C$32&amp;"-"&amp;B39,apoio!$A$3:$D$21,4,FALSE)</f>
        <v>0.1</v>
      </c>
      <c r="D39" s="53">
        <f t="shared" si="0"/>
        <v>20</v>
      </c>
    </row>
    <row r="40" spans="2:4" x14ac:dyDescent="0.25">
      <c r="B40" s="47" t="s">
        <v>27</v>
      </c>
      <c r="C40" s="48">
        <f>VLOOKUP($C$32&amp;"-"&amp;B40,apoio!$A$3:$D$21,4,FALSE)</f>
        <v>0.1</v>
      </c>
      <c r="D40" s="53">
        <f t="shared" si="0"/>
        <v>20</v>
      </c>
    </row>
    <row r="41" spans="2:4" x14ac:dyDescent="0.25">
      <c r="B41" s="47" t="s">
        <v>28</v>
      </c>
      <c r="C41" s="48">
        <f>VLOOKUP($C$32&amp;"-"&amp;B41,apoio!$A$3:$D$21,4,FALSE)</f>
        <v>0.1</v>
      </c>
      <c r="D41" s="53">
        <f t="shared" si="0"/>
        <v>20</v>
      </c>
    </row>
    <row r="42" spans="2:4" ht="15.75" thickBot="1" x14ac:dyDescent="0.3">
      <c r="B42" s="49"/>
      <c r="C42" s="50"/>
      <c r="D42" s="51">
        <f>SUM(D36:D41)</f>
        <v>220</v>
      </c>
    </row>
  </sheetData>
  <mergeCells count="13">
    <mergeCell ref="C32:D32"/>
    <mergeCell ref="C33:D33"/>
    <mergeCell ref="C21:D21"/>
    <mergeCell ref="C22:D22"/>
    <mergeCell ref="B11:D11"/>
    <mergeCell ref="C12:D12"/>
    <mergeCell ref="C13:D13"/>
    <mergeCell ref="C14:D14"/>
    <mergeCell ref="B24:C24"/>
    <mergeCell ref="B17:D17"/>
    <mergeCell ref="C18:D18"/>
    <mergeCell ref="C19:D19"/>
    <mergeCell ref="C20:D20"/>
  </mergeCells>
  <dataValidations count="1">
    <dataValidation type="list" allowBlank="1" showInputMessage="1" showErrorMessage="1" sqref="C32" xr:uid="{D9FF4387-555E-4126-BB3E-96473977DBB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B138-C042-430F-8B59-690A1991F38D}">
  <dimension ref="A3:D21"/>
  <sheetViews>
    <sheetView workbookViewId="0">
      <selection activeCell="A3" sqref="A3:D3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9.140625" style="2"/>
  </cols>
  <sheetData>
    <row r="3" spans="1:4" x14ac:dyDescent="0.25">
      <c r="A3" s="59" t="s">
        <v>31</v>
      </c>
      <c r="B3" s="60" t="s">
        <v>15</v>
      </c>
      <c r="C3" s="60" t="s">
        <v>29</v>
      </c>
      <c r="D3" s="60" t="s">
        <v>30</v>
      </c>
    </row>
    <row r="4" spans="1:4" x14ac:dyDescent="0.25">
      <c r="A4" t="str">
        <f>B4&amp;"-"&amp;C4</f>
        <v>Conservador-PAPEL</v>
      </c>
      <c r="B4" t="s">
        <v>16</v>
      </c>
      <c r="C4" s="52" t="s">
        <v>23</v>
      </c>
      <c r="D4" s="56">
        <v>0.3</v>
      </c>
    </row>
    <row r="5" spans="1:4" x14ac:dyDescent="0.25">
      <c r="A5" t="str">
        <f t="shared" ref="A5:A21" si="0">B5&amp;"-"&amp;C5</f>
        <v>Conservador-TIJOLO</v>
      </c>
      <c r="B5" t="s">
        <v>16</v>
      </c>
      <c r="C5" s="52" t="s">
        <v>24</v>
      </c>
      <c r="D5" s="56">
        <v>0.5</v>
      </c>
    </row>
    <row r="6" spans="1:4" x14ac:dyDescent="0.25">
      <c r="A6" t="str">
        <f t="shared" si="0"/>
        <v>Conservador-HÍBRIDOS</v>
      </c>
      <c r="B6" t="s">
        <v>16</v>
      </c>
      <c r="C6" s="52" t="s">
        <v>25</v>
      </c>
      <c r="D6" s="56">
        <v>0.1</v>
      </c>
    </row>
    <row r="7" spans="1:4" x14ac:dyDescent="0.25">
      <c r="A7" t="str">
        <f t="shared" si="0"/>
        <v>Conservador-FOF's</v>
      </c>
      <c r="B7" t="s">
        <v>16</v>
      </c>
      <c r="C7" s="52" t="s">
        <v>26</v>
      </c>
      <c r="D7" s="56">
        <v>0.1</v>
      </c>
    </row>
    <row r="8" spans="1:4" x14ac:dyDescent="0.25">
      <c r="A8" t="str">
        <f t="shared" si="0"/>
        <v>Conservador-DESENVOLVIMENTO</v>
      </c>
      <c r="B8" t="s">
        <v>16</v>
      </c>
      <c r="C8" s="52" t="s">
        <v>27</v>
      </c>
      <c r="D8" s="56">
        <v>0</v>
      </c>
    </row>
    <row r="9" spans="1:4" ht="15.75" thickBot="1" x14ac:dyDescent="0.3">
      <c r="A9" s="54" t="str">
        <f t="shared" si="0"/>
        <v>Conservador-HOTELARIA</v>
      </c>
      <c r="B9" s="54" t="s">
        <v>16</v>
      </c>
      <c r="C9" s="55" t="s">
        <v>28</v>
      </c>
      <c r="D9" s="57">
        <v>0</v>
      </c>
    </row>
    <row r="10" spans="1:4" x14ac:dyDescent="0.25">
      <c r="A10" t="str">
        <f t="shared" si="0"/>
        <v>Moderado-PAPEL</v>
      </c>
      <c r="B10" t="s">
        <v>17</v>
      </c>
      <c r="C10" s="52" t="s">
        <v>23</v>
      </c>
      <c r="D10" s="5">
        <v>0.32</v>
      </c>
    </row>
    <row r="11" spans="1:4" x14ac:dyDescent="0.25">
      <c r="A11" t="str">
        <f t="shared" si="0"/>
        <v>Moderado-TIJOLO</v>
      </c>
      <c r="B11" t="s">
        <v>17</v>
      </c>
      <c r="C11" s="52" t="s">
        <v>24</v>
      </c>
      <c r="D11" s="5">
        <v>0.4</v>
      </c>
    </row>
    <row r="12" spans="1:4" x14ac:dyDescent="0.25">
      <c r="A12" t="str">
        <f t="shared" si="0"/>
        <v>Moderado-HÍBRIDOS</v>
      </c>
      <c r="B12" t="s">
        <v>17</v>
      </c>
      <c r="C12" s="52" t="s">
        <v>25</v>
      </c>
      <c r="D12" s="5">
        <v>0.08</v>
      </c>
    </row>
    <row r="13" spans="1:4" x14ac:dyDescent="0.25">
      <c r="A13" t="str">
        <f t="shared" si="0"/>
        <v>Moderado-FOF's</v>
      </c>
      <c r="B13" t="s">
        <v>17</v>
      </c>
      <c r="C13" s="52" t="s">
        <v>26</v>
      </c>
      <c r="D13" s="5">
        <v>0.1</v>
      </c>
    </row>
    <row r="14" spans="1:4" x14ac:dyDescent="0.25">
      <c r="A14" t="str">
        <f t="shared" si="0"/>
        <v>Moderado-DESENVOLVIMENTO</v>
      </c>
      <c r="B14" t="s">
        <v>17</v>
      </c>
      <c r="C14" s="52" t="s">
        <v>27</v>
      </c>
      <c r="D14" s="5">
        <v>0.1</v>
      </c>
    </row>
    <row r="15" spans="1:4" ht="15.75" thickBot="1" x14ac:dyDescent="0.3">
      <c r="A15" s="54" t="str">
        <f t="shared" si="0"/>
        <v>Moderado-HOTELARIA</v>
      </c>
      <c r="B15" s="54" t="s">
        <v>17</v>
      </c>
      <c r="C15" s="55" t="s">
        <v>28</v>
      </c>
      <c r="D15" s="58">
        <v>0.1</v>
      </c>
    </row>
    <row r="16" spans="1:4" x14ac:dyDescent="0.25">
      <c r="A16" t="str">
        <f t="shared" si="0"/>
        <v>Agressivo-PAPEL</v>
      </c>
      <c r="B16" t="s">
        <v>18</v>
      </c>
      <c r="C16" s="52" t="s">
        <v>23</v>
      </c>
      <c r="D16" s="5">
        <v>0.5</v>
      </c>
    </row>
    <row r="17" spans="1:4" x14ac:dyDescent="0.25">
      <c r="A17" t="str">
        <f t="shared" si="0"/>
        <v>Agressivo-TIJOLO</v>
      </c>
      <c r="B17" t="s">
        <v>18</v>
      </c>
      <c r="C17" s="52" t="s">
        <v>24</v>
      </c>
      <c r="D17" s="5">
        <v>0.1</v>
      </c>
    </row>
    <row r="18" spans="1:4" x14ac:dyDescent="0.25">
      <c r="A18" t="str">
        <f t="shared" si="0"/>
        <v>Agressivo-HÍBRIDOS</v>
      </c>
      <c r="B18" t="s">
        <v>18</v>
      </c>
      <c r="C18" s="52" t="s">
        <v>25</v>
      </c>
      <c r="D18" s="5">
        <v>0.05</v>
      </c>
    </row>
    <row r="19" spans="1:4" x14ac:dyDescent="0.25">
      <c r="A19" t="str">
        <f t="shared" si="0"/>
        <v>Agressivo-FOF's</v>
      </c>
      <c r="B19" t="s">
        <v>18</v>
      </c>
      <c r="C19" s="52" t="s">
        <v>26</v>
      </c>
      <c r="D19" s="5">
        <v>0.05</v>
      </c>
    </row>
    <row r="20" spans="1:4" x14ac:dyDescent="0.25">
      <c r="A20" t="str">
        <f t="shared" si="0"/>
        <v>Agressivo-DESENVOLVIMENTO</v>
      </c>
      <c r="B20" t="s">
        <v>18</v>
      </c>
      <c r="C20" s="52" t="s">
        <v>27</v>
      </c>
      <c r="D20" s="5">
        <v>0.2</v>
      </c>
    </row>
    <row r="21" spans="1:4" x14ac:dyDescent="0.25">
      <c r="A21" t="str">
        <f t="shared" si="0"/>
        <v>Agressivo-HOTELARIA</v>
      </c>
      <c r="B21" t="s">
        <v>18</v>
      </c>
      <c r="C21" s="52" t="s">
        <v>28</v>
      </c>
      <c r="D21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APP</vt:lpstr>
      <vt:lpstr>apoio</vt:lpstr>
      <vt:lpstr>aporte</vt:lpstr>
      <vt:lpstr>Investir_mes</vt:lpstr>
      <vt:lpstr>patrimonio</vt:lpstr>
      <vt:lpstr>ptm_acm</vt:lpstr>
      <vt:lpstr>qtt_anos</vt:lpstr>
      <vt:lpstr>quantidade_anos</vt:lpstr>
      <vt:lpstr>Rendimento_Carteira</vt:lpstr>
      <vt:lpstr>salario</vt:lpstr>
      <vt:lpstr>sus_investimento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Kayra S Costa S de Sá</dc:creator>
  <cp:lastModifiedBy>Kayra S Costa S de Sá</cp:lastModifiedBy>
  <dcterms:created xsi:type="dcterms:W3CDTF">2026-01-07T19:06:00Z</dcterms:created>
  <dcterms:modified xsi:type="dcterms:W3CDTF">2026-01-07T21:57:25Z</dcterms:modified>
</cp:coreProperties>
</file>